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dedf36e5dad456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AD_ME" sheetId="1" r:id="Rfa42522c9fe94743"/>
    <x:sheet xmlns:r="http://schemas.openxmlformats.org/officeDocument/2006/relationships" name="Synthetic_Resource_Mapping" sheetId="2" r:id="R2563f3418e054041"/>
    <x:sheet xmlns:r="http://schemas.openxmlformats.org/officeDocument/2006/relationships" name="Colab_Ready" sheetId="3" r:id="R0287cfca6b864a3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0%"/>
    <x:numFmt numFmtId="201" formatCode="0.00"/>
    <x:numFmt numFmtId="202" formatCode="0"/>
  </x:numFmts>
  <x:fonts count="5">
    <x:font>
      <x:sz val="11"/>
      <x:name val="Carlito"/>
    </x:font>
    <x:font>
      <x:b/>
      <x:sz val="13"/>
      <x:color rgb="FFFFFFFF"/>
      <x:name val="Carlito"/>
    </x:font>
    <x:font>
      <x:b/>
      <x:sz val="11"/>
      <x:color rgb="FF17324D"/>
      <x:name val="Carlito"/>
    </x:font>
    <x:font>
      <x:b/>
      <x:sz val="11"/>
      <x:color rgb="FFFFFFFF"/>
      <x:name val="Carlito"/>
    </x:font>
    <x:font>
      <x:b/>
      <x:sz val="11"/>
      <x:color rgb="FF9F1239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0F766E"/>
      </x:patternFill>
    </x:fill>
    <x:fill>
      <x:patternFill patternType="solid">
        <x:fgColor rgb="FFFFF1F2"/>
      </x:patternFill>
    </x:fill>
    <x:fill>
      <x:patternFill patternType="solid">
        <x:fgColor rgb="FF19456D"/>
      </x:patternFill>
    </x:fill>
  </x:fills>
  <x:borders count="2">
    <x:border/>
    <x:border/>
  </x:borders>
  <x:cellStyleXfs count="1">
    <x:xf numFmtId="0" fontId="0" fillId="0" borderId="0"/>
  </x:cellStyleXfs>
  <x:cellXfs count="40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2" fillId="0" borderId="0" xfId="0" applyNumberFormat="1" applyFont="1" applyFill="1" applyBorder="1"/>
    <x:xf numFmtId="0" fontId="2" fillId="0" borderId="1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2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wrapText="1"/>
    </x:xf>
    <x:xf numFmtId="0" fontId="2" fillId="0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3" borderId="0" xfId="0" applyNumberFormat="1" applyFont="1" applyFill="1" applyBorder="1"/>
    <x:xf numFmtId="0" fontId="3" fillId="3" borderId="0" xfId="0" applyNumberFormat="1" applyFont="1" applyFill="1" applyBorder="1"/>
    <x:xf numFmtId="0" fontId="3" fillId="3" borderId="0" xfId="0" applyNumberFormat="1" applyFont="1" applyFill="1" applyBorder="1" applyAlignment="1">
      <x:alignment wrapText="1"/>
    </x:xf>
    <x:xf numFmtId="0" fontId="3" fillId="3" borderId="0" xfId="0" applyNumberFormat="1" applyFont="1" applyFill="1" applyBorder="1" applyAlignment="1">
      <x:alignment horizontal="center" wrapText="1"/>
    </x:xf>
    <x:xf numFmtId="0" fontId="3" fillId="3" borderId="0" xfId="0" applyNumberFormat="1" applyFont="1" applyFill="1" applyBorder="1" applyAlignment="1">
      <x:alignment horizontal="center" vertical="center" wrapText="1"/>
    </x:xf>
    <x:xf numFmtId="0" fontId="0" fillId="3" borderId="1" xfId="0" applyNumberFormat="1" applyFont="1" applyFill="1" applyBorder="1"/>
    <x:xf numFmtId="0" fontId="3" fillId="3" borderId="1" xfId="0" applyNumberFormat="1" applyFont="1" applyFill="1" applyBorder="1"/>
    <x:xf numFmtId="0" fontId="3" fillId="3" borderId="1" xfId="0" applyNumberFormat="1" applyFont="1" applyFill="1" applyBorder="1" applyAlignment="1">
      <x:alignment wrapText="1"/>
    </x:xf>
    <x:xf numFmtId="0" fontId="3" fillId="3" borderId="1" xfId="0" applyNumberFormat="1" applyFont="1" applyFill="1" applyBorder="1" applyAlignment="1">
      <x:alignment horizontal="center" wrapText="1"/>
    </x:xf>
    <x:xf numFmtId="0" fontId="3" fillId="3" borderId="1" xfId="0" applyNumberFormat="1" applyFont="1" applyFill="1" applyBorder="1" applyAlignment="1">
      <x:alignment horizontal="center" vertical="center" wrapText="1"/>
    </x:xf>
    <x:xf numFmtId="200" fontId="0" fillId="0" borderId="0" xfId="0" applyNumberFormat="1" applyFont="1" applyFill="1" applyBorder="1" applyAlignment="1">
      <x:alignment wrapText="1"/>
    </x:xf>
    <x:xf numFmtId="200" fontId="0" fillId="0" borderId="1" xfId="0" applyNumberFormat="1" applyFont="1" applyFill="1" applyBorder="1" applyAlignment="1">
      <x:alignment wrapText="1"/>
    </x:xf>
    <x:xf numFmtId="201" fontId="0" fillId="0" borderId="0" xfId="0" applyNumberFormat="1" applyFont="1" applyFill="1" applyBorder="1" applyAlignment="1">
      <x:alignment wrapText="1"/>
    </x:xf>
    <x:xf numFmtId="201" fontId="0" fillId="0" borderId="1" xfId="0" applyNumberFormat="1" applyFont="1" applyFill="1" applyBorder="1" applyAlignment="1">
      <x:alignment wrapText="1"/>
    </x:xf>
    <x:xf numFmtId="202" fontId="0" fillId="0" borderId="0" xfId="0" applyNumberFormat="1" applyFont="1" applyFill="1" applyBorder="1" applyAlignment="1">
      <x:alignment wrapText="1"/>
    </x:xf>
    <x:xf numFmtId="202" fontId="0" fillId="0" borderId="1" xfId="0" applyNumberFormat="1" applyFont="1" applyFill="1" applyBorder="1" applyAlignment="1">
      <x:alignment wrapText="1"/>
    </x:xf>
    <x:xf numFmtId="0" fontId="0" fillId="4" borderId="0" xfId="0" applyNumberFormat="1" applyFont="1" applyFill="1" applyBorder="1" applyAlignment="1">
      <x:alignment wrapText="1"/>
    </x:xf>
    <x:xf numFmtId="0" fontId="4" fillId="4" borderId="0" xfId="0" applyNumberFormat="1" applyFont="1" applyFill="1" applyBorder="1" applyAlignment="1">
      <x:alignment wrapText="1"/>
    </x:xf>
    <x:xf numFmtId="0" fontId="0" fillId="4" borderId="1" xfId="0" applyNumberFormat="1" applyFont="1" applyFill="1" applyBorder="1" applyAlignment="1">
      <x:alignment wrapText="1"/>
    </x:xf>
    <x:xf numFmtId="0" fontId="4" fillId="4" borderId="1" xfId="0" applyNumberFormat="1" applyFont="1" applyFill="1" applyBorder="1" applyAlignment="1">
      <x:alignment wrapText="1"/>
    </x:xf>
    <x:xf numFmtId="0" fontId="3" fillId="5" borderId="0" xfId="0" applyNumberFormat="1" applyFont="1" applyFill="1" applyBorder="1" applyAlignment="1">
      <x:alignment horizontal="center" vertical="center" wrapText="1"/>
    </x:xf>
    <x:xf numFmtId="0" fontId="3" fillId="5" borderId="1" xfId="0" applyNumberFormat="1" applyFont="1" applyFill="1" applyBorder="1" applyAlignment="1">
      <x:alignment horizontal="center" vertical="center" wrapText="1"/>
    </x:xf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wrapText="1"/>
    </x:xf>
    <x:xf numFmtId="0" fontId="3" fillId="2" borderId="1" xfId="0" applyNumberFormat="1" applyFont="1" applyFill="1" applyBorder="1"/>
    <x:xf numFmtId="0" fontId="3" fillId="2" borderId="1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b919c9076314ac0" /><Relationship Type="http://schemas.openxmlformats.org/officeDocument/2006/relationships/theme" Target="/xl/theme/theme1.xml" Id="R280bdacb58e74e90" /><Relationship Type="http://schemas.openxmlformats.org/officeDocument/2006/relationships/sharedStrings" Target="/xl/sharedStrings.xml" Id="Rd6a99d1d521a4c7c" /><Relationship Type="http://schemas.openxmlformats.org/officeDocument/2006/relationships/worksheet" Target="/xl/worksheets/sheet1.xml" Id="Rfa42522c9fe94743" /><Relationship Type="http://schemas.openxmlformats.org/officeDocument/2006/relationships/worksheet" Target="/xl/worksheets/sheet2.xml" Id="R2563f3418e054041" /><Relationship Type="http://schemas.openxmlformats.org/officeDocument/2006/relationships/worksheet" Target="/xl/worksheets/sheet3.xml" Id="R0287cfca6b864a3f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95" hidden="0" customWidth="1"/>
  </x:cols>
  <x:sheetData>
    <x:row r="1" ht="32" customHeight="1">
      <x:c r="A1" s="8" t="str">
        <x:v>LMIC • SYNTHETIC RESOURCE-PLANNING SCENARIO</x:v>
      </x:c>
      <x:c r="B1" s="8" t="str">
        <x:v>January 2026 demonstration</x:v>
      </x:c>
    </x:row>
    <x:row r="2" ht="38" customHeight="1">
      <x:c r="A2" s="9" t="str">
        <x:v>STATUS</x:v>
      </x:c>
      <x:c r="B2" s="10" t="str">
        <x:v>Every forecast and resource-planning input in this workbook is synthetic or hypothetical. This is NOT an approved LMIC plan.</x:v>
      </x:c>
    </x:row>
    <x:row r="3" ht="38" customHeight="1">
      <x:c r="A3" s="9" t="str">
        <x:v>Forecast origin</x:v>
      </x:c>
      <x:c r="B3" s="10" t="str">
        <x:v>January 2026 simulated forecasts supplied in the conversation: Dengue 20; Leptospirosis 5; Influenza/ILI 37; Typhoid 7; Cholera 3; Heat Stroke 2; Food Poisoning 8; Sore Eyes 9.</x:v>
      </x:c>
    </x:row>
    <x:row r="4" ht="38" customHeight="1">
      <x:c r="A4" s="9" t="str">
        <x:v>Clinic_Capture_Rate</x:v>
      </x:c>
      <x:c r="B4" s="10" t="str">
        <x:v>Made-up example proportion of forecast cases that might visit LMIC. Enter as a decimal (0.15 = 15%).</x:v>
      </x:c>
    </x:row>
    <x:row r="5" ht="38" customHeight="1">
      <x:c r="A5" s="9" t="str">
        <x:v>Service_Utilization_Rate</x:v>
      </x:c>
      <x:c r="B5" s="10" t="str">
        <x:v>Made-up example proportion of those hypothetical clinic cases using the named service. Enter as a decimal.</x:v>
      </x:c>
    </x:row>
    <x:row r="6" ht="38" customHeight="1">
      <x:c r="A6" s="9" t="str">
        <x:v>Service / Equipment / Supply</x:v>
      </x:c>
      <x:c r="B6" s="10" t="str">
        <x:v>Illustrative possibilities, NOT confirmed services, medical advice, LMIC clinical protocols, or actual inventory.</x:v>
      </x:c>
    </x:row>
    <x:row r="7" ht="38" customHeight="1">
      <x:c r="A7" s="9" t="str">
        <x:v>Units_Per_Service</x:v>
      </x:c>
      <x:c r="B7" s="10" t="str">
        <x:v>Invented example number of supply units for one service, not a clinically validated quantity.</x:v>
      </x:c>
    </x:row>
    <x:row r="8" ht="38" customHeight="1">
      <x:c r="A8" s="9" t="str">
        <x:v>Current_Stock / Safety_Stock</x:v>
      </x:c>
      <x:c r="B8" s="10" t="str">
        <x:v>Invented example inventory and reserve quantities. Do NOT order supplies based on this workbook.</x:v>
      </x:c>
    </x:row>
    <x:row r="9" ht="38" customHeight="1">
      <x:c r="A9" s="9" t="str">
        <x:v>Clinic_Approved</x:v>
      </x:c>
      <x:c r="B9" s="10" t="str">
        <x:v>All rows intentionally set to 'No'. Do not mark 'Yes' without confirmation by an authorized LMIC representative.</x:v>
      </x:c>
    </x:row>
    <x:row r="10" ht="38" customHeight="1">
      <x:c r="A10" s="9" t="str">
        <x:v>Expected_Clinic_Cases</x:v>
      </x:c>
      <x:c r="B10" s="10" t="str">
        <x:v>Formula = Predicted_Cases × Clinic_Capture_Rate. It is a mathematical scenario estimate, not actual patients.</x:v>
      </x:c>
    </x:row>
    <x:row r="11" ht="38" customHeight="1">
      <x:c r="A11" s="9" t="str">
        <x:v>Estimated_Supply_Units</x:v>
      </x:c>
      <x:c r="B11" s="10" t="str">
        <x:v>Formula = ROUNDUP(Expected_Clinic_Cases × Service_Utilization_Rate × Units_Per_Service, 0). Demonstration arithmetic only.</x:v>
      </x:c>
    </x:row>
    <x:row r="12" ht="38" customHeight="1">
      <x:c r="A12" s="9" t="str">
        <x:v>Shared stock warning</x:v>
      </x:c>
      <x:c r="B12" s="10" t="str">
        <x:v>If the same supply is listed in multiple rows, combine its total demand before checking inventory. Do not subtract stock separately per disease.</x:v>
      </x:c>
    </x:row>
    <x:row r="13" ht="38" customHeight="1">
      <x:c r="A13" s="9" t="str">
        <x:v>Real-world use</x:v>
      </x:c>
      <x:c r="B13" s="10" t="str">
        <x:v>Actual disease surveillance, clinic capture/service rates, inventory, protocols and external validation are required before operational use.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21" hidden="0" customWidth="1"/>
    <x:col min="2" max="2" width="18" hidden="0" customWidth="1"/>
    <x:col min="3" max="3" width="18" hidden="0" customWidth="1"/>
    <x:col min="4" max="4" width="44" hidden="0" customWidth="1"/>
    <x:col min="5" max="5" width="21" hidden="0" customWidth="1"/>
    <x:col min="6" max="6" width="36" hidden="0" customWidth="1"/>
    <x:col min="7" max="7" width="30" hidden="0" customWidth="1"/>
    <x:col min="8" max="8" width="19" hidden="0" customWidth="1"/>
    <x:col min="9" max="9" width="19" hidden="0" customWidth="1"/>
    <x:col min="10" max="10" width="19" hidden="0" customWidth="1"/>
    <x:col min="11" max="11" width="19" hidden="0" customWidth="1"/>
    <x:col min="12" max="12" width="23" hidden="0" customWidth="1"/>
    <x:col min="13" max="13" width="64" hidden="0" customWidth="1"/>
    <x:col min="14" max="14" width="22" hidden="0" customWidth="1"/>
    <x:col min="15" max="15" width="22" hidden="0" customWidth="1"/>
  </x:cols>
  <x:sheetData>
    <x:row r="1" ht="42" customHeight="1">
      <x:c r="A1" s="18" t="str">
        <x:v>Disease</x:v>
      </x:c>
      <x:c r="B1" s="18" t="str">
        <x:v>Predicted_Cases</x:v>
      </x:c>
      <x:c r="C1" s="18" t="str">
        <x:v>Clinic_Capture_Rate</x:v>
      </x:c>
      <x:c r="D1" s="18" t="str">
        <x:v>Service_Name</x:v>
      </x:c>
      <x:c r="E1" s="18" t="str">
        <x:v>Service_Utilization_Rate</x:v>
      </x:c>
      <x:c r="F1" s="18" t="str">
        <x:v>Equipment_Name</x:v>
      </x:c>
      <x:c r="G1" s="18" t="str">
        <x:v>Supply_Item</x:v>
      </x:c>
      <x:c r="H1" s="18" t="str">
        <x:v>Units_Per_Service</x:v>
      </x:c>
      <x:c r="I1" s="18" t="str">
        <x:v>Current_Stock</x:v>
      </x:c>
      <x:c r="J1" s="18" t="str">
        <x:v>Safety_Stock</x:v>
      </x:c>
      <x:c r="K1" s="18" t="str">
        <x:v>Clinic_Approved</x:v>
      </x:c>
      <x:c r="L1" s="18" t="str">
        <x:v>Data_Type</x:v>
      </x:c>
      <x:c r="M1" s="18" t="str">
        <x:v>Scenario_Note</x:v>
      </x:c>
      <x:c r="N1" s="34" t="str">
        <x:v>Expected_Clinic_Cases</x:v>
      </x:c>
      <x:c r="O1" s="34" t="str">
        <x:v>Estimated_Supply_Units</x:v>
      </x:c>
    </x:row>
    <x:row r="2" ht="56" customHeight="1">
      <x:c r="A2" s="10" t="str">
        <x:v>Dengue</x:v>
      </x:c>
      <x:c r="B2" s="10" t="n">
        <x:v>20</x:v>
      </x:c>
      <x:c r="C2" s="24" t="n">
        <x:v>0.15</x:v>
      </x:c>
      <x:c r="D2" s="10" t="str">
        <x:v>CBC assessment if ordered (illustrative)</x:v>
      </x:c>
      <x:c r="E2" s="24" t="n">
        <x:v>0.7</x:v>
      </x:c>
      <x:c r="F2" s="10" t="str">
        <x:v>CBC analyzer (illustrative)</x:v>
      </x:c>
      <x:c r="G2" s="10" t="str">
        <x:v>EDTA collection tubes</x:v>
      </x:c>
      <x:c r="H2" s="10" t="n">
        <x:v>1</x:v>
      </x:c>
      <x:c r="I2" s="10" t="n">
        <x:v>40</x:v>
      </x:c>
      <x:c r="J2" s="10" t="n">
        <x:v>12</x:v>
      </x:c>
      <x:c r="K2" s="31" t="str">
        <x:v>No</x:v>
      </x:c>
      <x:c r="L2" s="10" t="str">
        <x:v>Synthetic Simulation</x:v>
      </x:c>
      <x:c r="M2" s="10" t="str">
        <x:v>Hypothetical service, rates, equipment, and stock; clinic verification required.</x:v>
      </x:c>
      <x:c r="N2" s="26" t="n">
        <x:f>B2*C2</x:f>
        <x:v>3</x:v>
      </x:c>
      <x:c r="O2" s="28" t="n">
        <x:f>ROUNDUP(N2*E2*H2,0)</x:f>
        <x:v>3</x:v>
      </x:c>
    </x:row>
    <x:row r="3" ht="56" customHeight="1">
      <x:c r="A3" s="10" t="str">
        <x:v>Leptospirosis</x:v>
      </x:c>
      <x:c r="B3" s="10" t="n">
        <x:v>5</x:v>
      </x:c>
      <x:c r="C3" s="24" t="n">
        <x:v>0.1</x:v>
      </x:c>
      <x:c r="D3" s="10" t="str">
        <x:v>Laboratory specimen collection if ordered (illustrative)</x:v>
      </x:c>
      <x:c r="E3" s="24" t="n">
        <x:v>0.5</x:v>
      </x:c>
      <x:c r="F3" s="10" t="str">
        <x:v>Laboratory equipment (illustrative)</x:v>
      </x:c>
      <x:c r="G3" s="10" t="str">
        <x:v>Serum collection tubes</x:v>
      </x:c>
      <x:c r="H3" s="10" t="n">
        <x:v>1</x:v>
      </x:c>
      <x:c r="I3" s="10" t="n">
        <x:v>30</x:v>
      </x:c>
      <x:c r="J3" s="10" t="n">
        <x:v>10</x:v>
      </x:c>
      <x:c r="K3" s="31" t="str">
        <x:v>No</x:v>
      </x:c>
      <x:c r="L3" s="10" t="str">
        <x:v>Synthetic Simulation</x:v>
      </x:c>
      <x:c r="M3" s="10" t="str">
        <x:v>Not an assertion that LMIC offers or routinely performs this procedure.</x:v>
      </x:c>
      <x:c r="N3" s="26" t="n">
        <x:f>B3*C3</x:f>
        <x:v>0.5</x:v>
      </x:c>
      <x:c r="O3" s="28" t="n">
        <x:f>ROUNDUP(N3*E3*H3,0)</x:f>
        <x:v>1</x:v>
      </x:c>
    </x:row>
    <x:row r="4" ht="56" customHeight="1">
      <x:c r="A4" s="10" t="str">
        <x:v>Influenza / ILI</x:v>
      </x:c>
      <x:c r="B4" s="10" t="n">
        <x:v>37</x:v>
      </x:c>
      <x:c r="C4" s="24" t="n">
        <x:v>0.2</x:v>
      </x:c>
      <x:c r="D4" s="10" t="str">
        <x:v>Consultation / triage (illustrative)</x:v>
      </x:c>
      <x:c r="E4" s="24" t="n">
        <x:v>0.9</x:v>
      </x:c>
      <x:c r="F4" s="10" t="str">
        <x:v>Thermometer (illustrative)</x:v>
      </x:c>
      <x:c r="G4" s="10" t="str">
        <x:v>Disposable face masks</x:v>
      </x:c>
      <x:c r="H4" s="10" t="n">
        <x:v>1</x:v>
      </x:c>
      <x:c r="I4" s="10" t="n">
        <x:v>100</x:v>
      </x:c>
      <x:c r="J4" s="10" t="n">
        <x:v>30</x:v>
      </x:c>
      <x:c r="K4" s="31" t="str">
        <x:v>No</x:v>
      </x:c>
      <x:c r="L4" s="10" t="str">
        <x:v>Synthetic Simulation</x:v>
      </x:c>
      <x:c r="M4" s="10" t="str">
        <x:v>Invented demonstration assumptions; not actual influenza burden or stock.</x:v>
      </x:c>
      <x:c r="N4" s="26" t="n">
        <x:f>B4*C4</x:f>
        <x:v>7.4</x:v>
      </x:c>
      <x:c r="O4" s="28" t="n">
        <x:f>ROUNDUP(N4*E4*H4,0)</x:f>
        <x:v>7</x:v>
      </x:c>
    </x:row>
    <x:row r="5" ht="56" customHeight="1">
      <x:c r="A5" s="10" t="str">
        <x:v>Typhoid</x:v>
      </x:c>
      <x:c r="B5" s="10" t="n">
        <x:v>7</x:v>
      </x:c>
      <x:c r="C5" s="24" t="n">
        <x:v>0.12</x:v>
      </x:c>
      <x:c r="D5" s="10" t="str">
        <x:v>Specimen collection if ordered (illustrative)</x:v>
      </x:c>
      <x:c r="E5" s="24" t="n">
        <x:v>0.6</x:v>
      </x:c>
      <x:c r="F5" s="10" t="str">
        <x:v>Specimen collection equipment (illustrative)</x:v>
      </x:c>
      <x:c r="G5" s="10" t="str">
        <x:v>Sterile specimen containers</x:v>
      </x:c>
      <x:c r="H5" s="10" t="n">
        <x:v>1</x:v>
      </x:c>
      <x:c r="I5" s="10" t="n">
        <x:v>25</x:v>
      </x:c>
      <x:c r="J5" s="10" t="n">
        <x:v>8</x:v>
      </x:c>
      <x:c r="K5" s="31" t="str">
        <x:v>No</x:v>
      </x:c>
      <x:c r="L5" s="10" t="str">
        <x:v>Synthetic Simulation</x:v>
      </x:c>
      <x:c r="M5" s="10" t="str">
        <x:v>Confirm available services and clinically appropriate protocols with LMIC.</x:v>
      </x:c>
      <x:c r="N5" s="26" t="n">
        <x:f>B5*C5</x:f>
        <x:v>0.84</x:v>
      </x:c>
      <x:c r="O5" s="28" t="n">
        <x:f>ROUNDUP(N5*E5*H5,0)</x:f>
        <x:v>1</x:v>
      </x:c>
    </x:row>
    <x:row r="6" ht="56" customHeight="1">
      <x:c r="A6" s="10" t="str">
        <x:v>Cholera</x:v>
      </x:c>
      <x:c r="B6" s="10" t="n">
        <x:v>3</x:v>
      </x:c>
      <x:c r="C6" s="24" t="n">
        <x:v>0.08</x:v>
      </x:c>
      <x:c r="D6" s="10" t="str">
        <x:v>Initial assessment / referral (illustrative)</x:v>
      </x:c>
      <x:c r="E6" s="24" t="n">
        <x:v>1</x:v>
      </x:c>
      <x:c r="F6" s="10" t="str">
        <x:v>Assessment equipment (illustrative)</x:v>
      </x:c>
      <x:c r="G6" s="10" t="str">
        <x:v>Examination gloves (pairs)</x:v>
      </x:c>
      <x:c r="H6" s="10" t="n">
        <x:v>2</x:v>
      </x:c>
      <x:c r="I6" s="10" t="n">
        <x:v>180</x:v>
      </x:c>
      <x:c r="J6" s="10" t="n">
        <x:v>60</x:v>
      </x:c>
      <x:c r="K6" s="31" t="str">
        <x:v>No</x:v>
      </x:c>
      <x:c r="L6" s="10" t="str">
        <x:v>Synthetic Simulation</x:v>
      </x:c>
      <x:c r="M6" s="10" t="str">
        <x:v>Not a clinical treatment recommendation or claim of onsite cholera capability.</x:v>
      </x:c>
      <x:c r="N6" s="26" t="n">
        <x:f>B6*C6</x:f>
        <x:v>0.24</x:v>
      </x:c>
      <x:c r="O6" s="28" t="n">
        <x:f>ROUNDUP(N6*E6*H6,0)</x:f>
        <x:v>1</x:v>
      </x:c>
    </x:row>
    <x:row r="7" ht="56" customHeight="1">
      <x:c r="A7" s="10" t="str">
        <x:v>Heat Stroke</x:v>
      </x:c>
      <x:c r="B7" s="10" t="n">
        <x:v>2</x:v>
      </x:c>
      <x:c r="C7" s="24" t="n">
        <x:v>0.15</x:v>
      </x:c>
      <x:c r="D7" s="10" t="str">
        <x:v>Urgent assessment / referral (illustrative)</x:v>
      </x:c>
      <x:c r="E7" s="24" t="n">
        <x:v>1</x:v>
      </x:c>
      <x:c r="F7" s="10" t="str">
        <x:v>Assessment equipment (illustrative)</x:v>
      </x:c>
      <x:c r="G7" s="10" t="str">
        <x:v>Instant cold packs</x:v>
      </x:c>
      <x:c r="H7" s="10" t="n">
        <x:v>1</x:v>
      </x:c>
      <x:c r="I7" s="10" t="n">
        <x:v>15</x:v>
      </x:c>
      <x:c r="J7" s="10" t="n">
        <x:v>5</x:v>
      </x:c>
      <x:c r="K7" s="31" t="str">
        <x:v>No</x:v>
      </x:c>
      <x:c r="L7" s="10" t="str">
        <x:v>Synthetic Simulation</x:v>
      </x:c>
      <x:c r="M7" s="10" t="str">
        <x:v>Not a substitute for approved emergency procedures.</x:v>
      </x:c>
      <x:c r="N7" s="26" t="n">
        <x:f>B7*C7</x:f>
        <x:v>0.3</x:v>
      </x:c>
      <x:c r="O7" s="28" t="n">
        <x:f>ROUNDUP(N7*E7*H7,0)</x:f>
        <x:v>1</x:v>
      </x:c>
    </x:row>
    <x:row r="8" ht="56" customHeight="1">
      <x:c r="A8" s="10" t="str">
        <x:v>Food Poisoning</x:v>
      </x:c>
      <x:c r="B8" s="10" t="n">
        <x:v>8</x:v>
      </x:c>
      <x:c r="C8" s="24" t="n">
        <x:v>0.18</x:v>
      </x:c>
      <x:c r="D8" s="10" t="str">
        <x:v>Specimen collection if ordered (illustrative)</x:v>
      </x:c>
      <x:c r="E8" s="24" t="n">
        <x:v>0.7</x:v>
      </x:c>
      <x:c r="F8" s="10" t="str">
        <x:v>Specimen collection equipment (illustrative)</x:v>
      </x:c>
      <x:c r="G8" s="10" t="str">
        <x:v>Specimen transport bags</x:v>
      </x:c>
      <x:c r="H8" s="10" t="n">
        <x:v>1</x:v>
      </x:c>
      <x:c r="I8" s="10" t="n">
        <x:v>20</x:v>
      </x:c>
      <x:c r="J8" s="10" t="n">
        <x:v>8</x:v>
      </x:c>
      <x:c r="K8" s="31" t="str">
        <x:v>No</x:v>
      </x:c>
      <x:c r="L8" s="10" t="str">
        <x:v>Synthetic Simulation</x:v>
      </x:c>
      <x:c r="M8" s="10" t="str">
        <x:v>Hypothetical mapping; confirm whether any service/supply is relevant.</x:v>
      </x:c>
      <x:c r="N8" s="26" t="n">
        <x:f>B8*C8</x:f>
        <x:v>1.44</x:v>
      </x:c>
      <x:c r="O8" s="28" t="n">
        <x:f>ROUNDUP(N8*E8*H8,0)</x:f>
        <x:v>2</x:v>
      </x:c>
    </x:row>
    <x:row r="9" ht="56" customHeight="1">
      <x:c r="A9" s="10" t="str">
        <x:v>Sore Eyes</x:v>
      </x:c>
      <x:c r="B9" s="10" t="n">
        <x:v>9</x:v>
      </x:c>
      <x:c r="C9" s="24" t="n">
        <x:v>0.16</x:v>
      </x:c>
      <x:c r="D9" s="10" t="str">
        <x:v>Consultation / eye assessment (illustrative)</x:v>
      </x:c>
      <x:c r="E9" s="24" t="n">
        <x:v>0.9</x:v>
      </x:c>
      <x:c r="F9" s="10" t="str">
        <x:v>Examination light (illustrative)</x:v>
      </x:c>
      <x:c r="G9" s="10" t="str">
        <x:v>Disposable examination tissues</x:v>
      </x:c>
      <x:c r="H9" s="10" t="n">
        <x:v>1</x:v>
      </x:c>
      <x:c r="I9" s="10" t="n">
        <x:v>45</x:v>
      </x:c>
      <x:c r="J9" s="10" t="n">
        <x:v>15</x:v>
      </x:c>
      <x:c r="K9" s="31" t="str">
        <x:v>No</x:v>
      </x:c>
      <x:c r="L9" s="10" t="str">
        <x:v>Synthetic Simulation</x:v>
      </x:c>
      <x:c r="M9" s="10" t="str">
        <x:v>Illustrative only; verify with the actual clinic before use.</x:v>
      </x:c>
      <x:c r="N9" s="26" t="n">
        <x:f>B9*C9</x:f>
        <x:v>1.44</x:v>
      </x:c>
      <x:c r="O9" s="28" t="n">
        <x:f>ROUNDUP(N9*E9*H9,0)</x:f>
        <x:v>2</x:v>
      </x:c>
    </x:row>
  </x:sheetData>
  <x:dataValidations count="1">
    <x:dataValidation type="list" sqref="K2:K9">
      <x:formula1>"No,Yes"</x:formula1>
    </x:dataValidation>
  </x:dataValidation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18" hidden="0" customWidth="1"/>
    <x:col min="3" max="3" width="18" hidden="0" customWidth="1"/>
    <x:col min="4" max="4" width="44" hidden="0" customWidth="1"/>
    <x:col min="5" max="5" width="24" hidden="0" customWidth="1"/>
    <x:col min="6" max="6" width="35" hidden="0" customWidth="1"/>
    <x:col min="7" max="7" width="28" hidden="0" customWidth="1"/>
    <x:col min="8" max="8" width="19" hidden="0" customWidth="1"/>
    <x:col min="9" max="9" width="19" hidden="0" customWidth="1"/>
    <x:col min="10" max="10" width="19" hidden="0" customWidth="1"/>
    <x:col min="11" max="11" width="19" hidden="0" customWidth="1"/>
    <x:col min="12" max="12" width="19" hidden="0" customWidth="1"/>
    <x:col min="13" max="13" width="60" hidden="0" customWidth="1"/>
  </x:cols>
  <x:sheetData>
    <x:row r="1" ht="38" customHeight="1">
      <x:c r="A1" s="37" t="str">
        <x:v>Disease</x:v>
      </x:c>
      <x:c r="B1" s="37" t="str">
        <x:v>Predicted_Cases</x:v>
      </x:c>
      <x:c r="C1" s="37" t="str">
        <x:v>Clinic_Capture_Rate</x:v>
      </x:c>
      <x:c r="D1" s="37" t="str">
        <x:v>Service_Name</x:v>
      </x:c>
      <x:c r="E1" s="37" t="str">
        <x:v>Service_Utilization_Rate</x:v>
      </x:c>
      <x:c r="F1" s="37" t="str">
        <x:v>Equipment_Name</x:v>
      </x:c>
      <x:c r="G1" s="37" t="str">
        <x:v>Supply_Item</x:v>
      </x:c>
      <x:c r="H1" s="37" t="str">
        <x:v>Units_Per_Service</x:v>
      </x:c>
      <x:c r="I1" s="37" t="str">
        <x:v>Current_Stock</x:v>
      </x:c>
      <x:c r="J1" s="37" t="str">
        <x:v>Safety_Stock</x:v>
      </x:c>
      <x:c r="K1" s="37" t="str">
        <x:v>Clinic_Approved</x:v>
      </x:c>
      <x:c r="L1" s="37" t="str">
        <x:v>Data_Type</x:v>
      </x:c>
      <x:c r="M1" s="37" t="str">
        <x:v>Scenario_Note</x:v>
      </x:c>
    </x:row>
    <x:row r="2" ht="48" customHeight="1">
      <x:c r="A2" s="10" t="str">
        <x:v>Dengue</x:v>
      </x:c>
      <x:c r="B2" s="10" t="n">
        <x:v>20</x:v>
      </x:c>
      <x:c r="C2" s="24" t="n">
        <x:v>0.15</x:v>
      </x:c>
      <x:c r="D2" s="10" t="str">
        <x:v>CBC assessment if ordered (illustrative)</x:v>
      </x:c>
      <x:c r="E2" s="24" t="n">
        <x:v>0.7</x:v>
      </x:c>
      <x:c r="F2" s="10" t="str">
        <x:v>CBC analyzer (illustrative)</x:v>
      </x:c>
      <x:c r="G2" s="10" t="str">
        <x:v>EDTA collection tubes</x:v>
      </x:c>
      <x:c r="H2" s="10" t="n">
        <x:v>1</x:v>
      </x:c>
      <x:c r="I2" s="10" t="n">
        <x:v>40</x:v>
      </x:c>
      <x:c r="J2" s="10" t="n">
        <x:v>12</x:v>
      </x:c>
      <x:c r="K2" s="10" t="str">
        <x:v>No</x:v>
      </x:c>
      <x:c r="L2" s="10" t="str">
        <x:v>Synthetic Simulation</x:v>
      </x:c>
      <x:c r="M2" s="10" t="str">
        <x:v>Hypothetical service, rates, equipment, and stock; clinic verification required.</x:v>
      </x:c>
    </x:row>
    <x:row r="3" ht="48" customHeight="1">
      <x:c r="A3" s="10" t="str">
        <x:v>Leptospirosis</x:v>
      </x:c>
      <x:c r="B3" s="10" t="n">
        <x:v>5</x:v>
      </x:c>
      <x:c r="C3" s="24" t="n">
        <x:v>0.1</x:v>
      </x:c>
      <x:c r="D3" s="10" t="str">
        <x:v>Laboratory specimen collection if ordered (illustrative)</x:v>
      </x:c>
      <x:c r="E3" s="24" t="n">
        <x:v>0.5</x:v>
      </x:c>
      <x:c r="F3" s="10" t="str">
        <x:v>Laboratory equipment (illustrative)</x:v>
      </x:c>
      <x:c r="G3" s="10" t="str">
        <x:v>Serum collection tubes</x:v>
      </x:c>
      <x:c r="H3" s="10" t="n">
        <x:v>1</x:v>
      </x:c>
      <x:c r="I3" s="10" t="n">
        <x:v>30</x:v>
      </x:c>
      <x:c r="J3" s="10" t="n">
        <x:v>10</x:v>
      </x:c>
      <x:c r="K3" s="10" t="str">
        <x:v>No</x:v>
      </x:c>
      <x:c r="L3" s="10" t="str">
        <x:v>Synthetic Simulation</x:v>
      </x:c>
      <x:c r="M3" s="10" t="str">
        <x:v>Not an assertion that LMIC offers or routinely performs this procedure.</x:v>
      </x:c>
    </x:row>
    <x:row r="4" ht="48" customHeight="1">
      <x:c r="A4" s="10" t="str">
        <x:v>Influenza / ILI</x:v>
      </x:c>
      <x:c r="B4" s="10" t="n">
        <x:v>37</x:v>
      </x:c>
      <x:c r="C4" s="24" t="n">
        <x:v>0.2</x:v>
      </x:c>
      <x:c r="D4" s="10" t="str">
        <x:v>Consultation / triage (illustrative)</x:v>
      </x:c>
      <x:c r="E4" s="24" t="n">
        <x:v>0.9</x:v>
      </x:c>
      <x:c r="F4" s="10" t="str">
        <x:v>Thermometer (illustrative)</x:v>
      </x:c>
      <x:c r="G4" s="10" t="str">
        <x:v>Disposable face masks</x:v>
      </x:c>
      <x:c r="H4" s="10" t="n">
        <x:v>1</x:v>
      </x:c>
      <x:c r="I4" s="10" t="n">
        <x:v>100</x:v>
      </x:c>
      <x:c r="J4" s="10" t="n">
        <x:v>30</x:v>
      </x:c>
      <x:c r="K4" s="10" t="str">
        <x:v>No</x:v>
      </x:c>
      <x:c r="L4" s="10" t="str">
        <x:v>Synthetic Simulation</x:v>
      </x:c>
      <x:c r="M4" s="10" t="str">
        <x:v>Invented demonstration assumptions; not actual influenza burden or stock.</x:v>
      </x:c>
    </x:row>
    <x:row r="5" ht="48" customHeight="1">
      <x:c r="A5" s="10" t="str">
        <x:v>Typhoid</x:v>
      </x:c>
      <x:c r="B5" s="10" t="n">
        <x:v>7</x:v>
      </x:c>
      <x:c r="C5" s="24" t="n">
        <x:v>0.12</x:v>
      </x:c>
      <x:c r="D5" s="10" t="str">
        <x:v>Specimen collection if ordered (illustrative)</x:v>
      </x:c>
      <x:c r="E5" s="24" t="n">
        <x:v>0.6</x:v>
      </x:c>
      <x:c r="F5" s="10" t="str">
        <x:v>Specimen collection equipment (illustrative)</x:v>
      </x:c>
      <x:c r="G5" s="10" t="str">
        <x:v>Sterile specimen containers</x:v>
      </x:c>
      <x:c r="H5" s="10" t="n">
        <x:v>1</x:v>
      </x:c>
      <x:c r="I5" s="10" t="n">
        <x:v>25</x:v>
      </x:c>
      <x:c r="J5" s="10" t="n">
        <x:v>8</x:v>
      </x:c>
      <x:c r="K5" s="10" t="str">
        <x:v>No</x:v>
      </x:c>
      <x:c r="L5" s="10" t="str">
        <x:v>Synthetic Simulation</x:v>
      </x:c>
      <x:c r="M5" s="10" t="str">
        <x:v>Confirm available services and clinically appropriate protocols with LMIC.</x:v>
      </x:c>
    </x:row>
    <x:row r="6" ht="48" customHeight="1">
      <x:c r="A6" s="10" t="str">
        <x:v>Cholera</x:v>
      </x:c>
      <x:c r="B6" s="10" t="n">
        <x:v>3</x:v>
      </x:c>
      <x:c r="C6" s="24" t="n">
        <x:v>0.08</x:v>
      </x:c>
      <x:c r="D6" s="10" t="str">
        <x:v>Initial assessment / referral (illustrative)</x:v>
      </x:c>
      <x:c r="E6" s="24" t="n">
        <x:v>1</x:v>
      </x:c>
      <x:c r="F6" s="10" t="str">
        <x:v>Assessment equipment (illustrative)</x:v>
      </x:c>
      <x:c r="G6" s="10" t="str">
        <x:v>Examination gloves (pairs)</x:v>
      </x:c>
      <x:c r="H6" s="10" t="n">
        <x:v>2</x:v>
      </x:c>
      <x:c r="I6" s="10" t="n">
        <x:v>180</x:v>
      </x:c>
      <x:c r="J6" s="10" t="n">
        <x:v>60</x:v>
      </x:c>
      <x:c r="K6" s="10" t="str">
        <x:v>No</x:v>
      </x:c>
      <x:c r="L6" s="10" t="str">
        <x:v>Synthetic Simulation</x:v>
      </x:c>
      <x:c r="M6" s="10" t="str">
        <x:v>Not a clinical treatment recommendation or claim of onsite cholera capability.</x:v>
      </x:c>
    </x:row>
    <x:row r="7" ht="48" customHeight="1">
      <x:c r="A7" s="10" t="str">
        <x:v>Heat Stroke</x:v>
      </x:c>
      <x:c r="B7" s="10" t="n">
        <x:v>2</x:v>
      </x:c>
      <x:c r="C7" s="24" t="n">
        <x:v>0.15</x:v>
      </x:c>
      <x:c r="D7" s="10" t="str">
        <x:v>Urgent assessment / referral (illustrative)</x:v>
      </x:c>
      <x:c r="E7" s="24" t="n">
        <x:v>1</x:v>
      </x:c>
      <x:c r="F7" s="10" t="str">
        <x:v>Assessment equipment (illustrative)</x:v>
      </x:c>
      <x:c r="G7" s="10" t="str">
        <x:v>Instant cold packs</x:v>
      </x:c>
      <x:c r="H7" s="10" t="n">
        <x:v>1</x:v>
      </x:c>
      <x:c r="I7" s="10" t="n">
        <x:v>15</x:v>
      </x:c>
      <x:c r="J7" s="10" t="n">
        <x:v>5</x:v>
      </x:c>
      <x:c r="K7" s="10" t="str">
        <x:v>No</x:v>
      </x:c>
      <x:c r="L7" s="10" t="str">
        <x:v>Synthetic Simulation</x:v>
      </x:c>
      <x:c r="M7" s="10" t="str">
        <x:v>Not a substitute for approved emergency procedures.</x:v>
      </x:c>
    </x:row>
    <x:row r="8" ht="48" customHeight="1">
      <x:c r="A8" s="10" t="str">
        <x:v>Food Poisoning</x:v>
      </x:c>
      <x:c r="B8" s="10" t="n">
        <x:v>8</x:v>
      </x:c>
      <x:c r="C8" s="24" t="n">
        <x:v>0.18</x:v>
      </x:c>
      <x:c r="D8" s="10" t="str">
        <x:v>Specimen collection if ordered (illustrative)</x:v>
      </x:c>
      <x:c r="E8" s="24" t="n">
        <x:v>0.7</x:v>
      </x:c>
      <x:c r="F8" s="10" t="str">
        <x:v>Specimen collection equipment (illustrative)</x:v>
      </x:c>
      <x:c r="G8" s="10" t="str">
        <x:v>Specimen transport bags</x:v>
      </x:c>
      <x:c r="H8" s="10" t="n">
        <x:v>1</x:v>
      </x:c>
      <x:c r="I8" s="10" t="n">
        <x:v>20</x:v>
      </x:c>
      <x:c r="J8" s="10" t="n">
        <x:v>8</x:v>
      </x:c>
      <x:c r="K8" s="10" t="str">
        <x:v>No</x:v>
      </x:c>
      <x:c r="L8" s="10" t="str">
        <x:v>Synthetic Simulation</x:v>
      </x:c>
      <x:c r="M8" s="10" t="str">
        <x:v>Hypothetical mapping; confirm whether any service/supply is relevant.</x:v>
      </x:c>
    </x:row>
    <x:row r="9" ht="48" customHeight="1">
      <x:c r="A9" s="10" t="str">
        <x:v>Sore Eyes</x:v>
      </x:c>
      <x:c r="B9" s="10" t="n">
        <x:v>9</x:v>
      </x:c>
      <x:c r="C9" s="24" t="n">
        <x:v>0.16</x:v>
      </x:c>
      <x:c r="D9" s="10" t="str">
        <x:v>Consultation / eye assessment (illustrative)</x:v>
      </x:c>
      <x:c r="E9" s="24" t="n">
        <x:v>0.9</x:v>
      </x:c>
      <x:c r="F9" s="10" t="str">
        <x:v>Examination light (illustrative)</x:v>
      </x:c>
      <x:c r="G9" s="10" t="str">
        <x:v>Disposable examination tissues</x:v>
      </x:c>
      <x:c r="H9" s="10" t="n">
        <x:v>1</x:v>
      </x:c>
      <x:c r="I9" s="10" t="n">
        <x:v>45</x:v>
      </x:c>
      <x:c r="J9" s="10" t="n">
        <x:v>15</x:v>
      </x:c>
      <x:c r="K9" s="10" t="str">
        <x:v>No</x:v>
      </x:c>
      <x:c r="L9" s="10" t="str">
        <x:v>Synthetic Simulation</x:v>
      </x:c>
      <x:c r="M9" s="10" t="str">
        <x:v>Illustrative only; verify with the actual clinic before use.</x:v>
      </x:c>
    </x:row>
  </x:sheetData>
  <x:pageMargins left="0.7" right="0.7" top="0.75" bottom="0.75" header="0.3" footer="0.3"/>
</x:worksheet>
</file>